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清单" sheetId="1" state="visible" r:id="rId1"/>
    <sheet xmlns:r="http://schemas.openxmlformats.org/officeDocument/2006/relationships" name="选型对比" sheetId="2" state="visible" r:id="rId2"/>
    <sheet xmlns:r="http://schemas.openxmlformats.org/officeDocument/2006/relationships" name="预算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微软雅黑"/>
      <b val="1"/>
      <color rgb="00C8001E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8001E"/>
      <sz val="10"/>
    </font>
    <font>
      <name val="微软雅黑"/>
      <b val="1"/>
      <color rgb="00000000"/>
      <sz val="10"/>
    </font>
    <font>
      <name val="微软雅黑"/>
      <b val="1"/>
      <color rgb="00FFFFFF"/>
      <sz val="12"/>
    </font>
    <font>
      <name val="微软雅黑"/>
      <color rgb="00000000"/>
      <sz val="9.5"/>
    </font>
    <font>
      <name val="微软雅黑"/>
      <b val="1"/>
      <color rgb="00C8001E"/>
      <sz val="13"/>
    </font>
    <font>
      <name val="微软雅黑"/>
      <color rgb="00808080"/>
      <sz val="9.5"/>
    </font>
  </fonts>
  <fills count="6">
    <fill>
      <patternFill/>
    </fill>
    <fill>
      <patternFill patternType="gray125"/>
    </fill>
    <fill>
      <patternFill patternType="solid">
        <fgColor rgb="00C8001E"/>
      </patternFill>
    </fill>
    <fill>
      <patternFill patternType="solid">
        <fgColor rgb="00FDECEA"/>
      </patternFill>
    </fill>
    <fill>
      <patternFill patternType="solid">
        <fgColor rgb="00FFF6E5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2" customWidth="1" min="4" max="4"/>
    <col width="13" customWidth="1" min="5" max="5"/>
    <col width="13" customWidth="1" min="6" max="6"/>
    <col width="12" customWidth="1" min="7" max="7"/>
    <col width="26" customWidth="1" min="8" max="8"/>
  </cols>
  <sheetData>
    <row r="1">
      <c r="A1" s="1" t="inlineStr">
        <is>
          <t>信创服务器及配套软件采购清单(2026年7月)</t>
        </is>
      </c>
    </row>
    <row r="2" ht="28" customHeight="1">
      <c r="A2" s="2" t="inlineStr">
        <is>
          <t>注:金额单位为万元,区间为2024—2025公开渠道/集采中标行情锚点,签订前须向不少于3家供应商询价;必选=基础包一次核批,可选=一并论证、按触发条件分批采购。</t>
        </is>
      </c>
    </row>
    <row r="3">
      <c r="A3" s="3" t="inlineStr">
        <is>
          <t>序号</t>
        </is>
      </c>
      <c r="B3" s="3" t="inlineStr">
        <is>
          <t>品目</t>
        </is>
      </c>
      <c r="C3" s="3" t="inlineStr">
        <is>
          <t>数量</t>
        </is>
      </c>
      <c r="D3" s="3" t="inlineStr">
        <is>
          <t>关键规格摘要</t>
        </is>
      </c>
      <c r="E3" s="3" t="inlineStr">
        <is>
          <t>预算下限(万元)</t>
        </is>
      </c>
      <c r="F3" s="3" t="inlineStr">
        <is>
          <t>预算上限(万元)</t>
        </is>
      </c>
      <c r="G3" s="3" t="inlineStr">
        <is>
          <t>类别</t>
        </is>
      </c>
      <c r="H3" s="3" t="inlineStr">
        <is>
          <t>触发条件/备注</t>
        </is>
      </c>
    </row>
    <row r="4" ht="42" customHeight="1">
      <c r="A4" s="4" t="n">
        <v>1</v>
      </c>
      <c r="B4" s="5" t="inlineStr">
        <is>
          <t>应用服务器</t>
        </is>
      </c>
      <c r="C4" s="4" t="inlineStr">
        <is>
          <t>2 台</t>
        </is>
      </c>
      <c r="D4" s="5" t="inlineStr">
        <is>
          <t>国产CPU双路(安全可靠目录内,ARMv8或x86_64),总物理核≥64,内存128GB(插槽占用≤50%),2×480GB SSD RAID1系统盘+2×3.84TB SSD数据盘,2×GE+2×10GE,1+1冗余电源,BMC,5年原厂质保</t>
        </is>
      </c>
      <c r="E4" s="6" t="n">
        <v>8</v>
      </c>
      <c r="F4" s="6" t="n">
        <v>12</v>
      </c>
      <c r="G4" s="4" t="inlineStr">
        <is>
          <t>必选</t>
        </is>
      </c>
      <c r="H4" s="5" t="inlineStr">
        <is>
          <t>承载应用/国密网关/3D展厅,双机冗余</t>
        </is>
      </c>
    </row>
    <row r="5" ht="42" customHeight="1">
      <c r="A5" s="4" t="n">
        <v>2</v>
      </c>
      <c r="B5" s="5" t="inlineStr">
        <is>
          <t>数据库服务器</t>
        </is>
      </c>
      <c r="C5" s="4" t="inlineStr">
        <is>
          <t>1 台</t>
        </is>
      </c>
      <c r="D5" s="5" t="inlineStr">
        <is>
          <t>同架构双路≥64核,128GB,2×1.92TB NVMe U.2 RAID1数据盘+2×480GB SSD系统盘+2×4TB本地备份盘</t>
        </is>
      </c>
      <c r="E5" s="6" t="n">
        <v>4</v>
      </c>
      <c r="F5" s="6" t="n">
        <v>6.5</v>
      </c>
      <c r="G5" s="4" t="inlineStr">
        <is>
          <t>必选</t>
        </is>
      </c>
      <c r="H5" s="5" t="inlineStr">
        <is>
          <t>考核实时计算等高频查询走NVMe</t>
        </is>
      </c>
    </row>
    <row r="6" ht="42" customHeight="1">
      <c r="A6" s="4" t="n">
        <v>3</v>
      </c>
      <c r="B6" s="5" t="inlineStr">
        <is>
          <t>存储备份服务器</t>
        </is>
      </c>
      <c r="C6" s="4" t="inlineStr">
        <is>
          <t>1 台</t>
        </is>
      </c>
      <c r="D6" s="5" t="inlineStr">
        <is>
          <t>总核≥32,64GB,≥12个3.5英寸盘位,配6×8TB企业级SATA(RAID6可用≥32TB),留扩展盘位</t>
        </is>
      </c>
      <c r="E6" s="6" t="n">
        <v>5</v>
      </c>
      <c r="F6" s="6" t="n">
        <v>8</v>
      </c>
      <c r="G6" s="4" t="inlineStr">
        <is>
          <t>必选</t>
        </is>
      </c>
      <c r="H6" s="5" t="inlineStr">
        <is>
          <t>业务文件区(3D素材/视频,单文件上限500MB)+全系统备份归集</t>
        </is>
      </c>
    </row>
    <row r="7" ht="42" customHeight="1">
      <c r="A7" s="4" t="n">
        <v>4</v>
      </c>
      <c r="B7" s="5" t="inlineStr">
        <is>
          <t>测试/预发服务器</t>
        </is>
      </c>
      <c r="C7" s="4" t="inlineStr">
        <is>
          <t>1 台</t>
        </is>
      </c>
      <c r="D7" s="5" t="inlineStr">
        <is>
          <t>总核≥32,64GB,2×480GB SSD+2×4TB;CPU架构须与生产应用服务器一致</t>
        </is>
      </c>
      <c r="E7" s="6" t="n">
        <v>3</v>
      </c>
      <c r="F7" s="6" t="n">
        <v>4.5</v>
      </c>
      <c r="G7" s="4" t="inlineStr">
        <is>
          <t>必选</t>
        </is>
      </c>
      <c r="H7" s="5" t="inlineStr">
        <is>
          <t>适配验证/升级演练/应急顶替</t>
        </is>
      </c>
    </row>
    <row r="8" ht="42" customHeight="1">
      <c r="A8" s="4" t="n">
        <v>5</v>
      </c>
      <c r="B8" s="5" t="inlineStr">
        <is>
          <t>服务器操作系统</t>
        </is>
      </c>
      <c r="C8" s="4" t="inlineStr">
        <is>
          <t>5 套</t>
        </is>
      </c>
      <c r="D8" s="5" t="inlineStr">
        <is>
          <t>银河麒麟高级服务器V10 SP3及以上 或 统信UOS服务器版V20(1050+),每台物理服务器1套永久授权,含≥3年原厂服务;glibc≥2.28</t>
        </is>
      </c>
      <c r="E8" s="6" t="n">
        <v>2.5</v>
      </c>
      <c r="F8" s="6" t="n">
        <v>5</v>
      </c>
      <c r="G8" s="4" t="inlineStr">
        <is>
          <t>必选</t>
        </is>
      </c>
      <c r="H8" s="5" t="inlineStr">
        <is>
          <t>随整机预装激活,授权文件交采购方</t>
        </is>
      </c>
    </row>
    <row r="9" ht="42" customHeight="1">
      <c r="A9" s="4" t="n">
        <v>6</v>
      </c>
      <c r="B9" s="5" t="inlineStr">
        <is>
          <t>国产数据库(PG内核系)</t>
        </is>
      </c>
      <c r="C9" s="4" t="inlineStr">
        <is>
          <t>2 套</t>
        </is>
      </c>
      <c r="D9" s="5" t="inlineStr">
        <is>
          <t>信创目录内国产商用关系库;基于PostgreSQL内核且内核版本≥9.6(优先≥10);完全兼容PG通信协议,支持标准PG驱动直连(md5/scram认证);生产+测试授权,含≥3年服务;中标方配合完成应用适配验证(付款前置)</t>
        </is>
      </c>
      <c r="E9" s="6" t="n">
        <v>5</v>
      </c>
      <c r="F9" s="6" t="n">
        <v>15</v>
      </c>
      <c r="G9" s="4" t="inlineStr">
        <is>
          <t>必选</t>
        </is>
      </c>
      <c r="H9" s="5" t="inlineStr">
        <is>
          <t>参考产品:瀚高安全版/人大金仓KingbaseES(PG兼容模式),不限品牌;须询价</t>
        </is>
      </c>
    </row>
    <row r="10" ht="42" customHeight="1">
      <c r="A10" s="4" t="n">
        <v>7</v>
      </c>
      <c r="B10" s="5" t="inlineStr">
        <is>
          <t>国密传输改造</t>
        </is>
      </c>
      <c r="C10" s="4" t="inlineStr">
        <is>
          <t>1 项</t>
        </is>
      </c>
      <c r="D10" s="5" t="inlineStr">
        <is>
          <t>开源国密网关(Tengine+铜锁Tongsuo)SM2+RSA双证书,自建内网CA+终端推根;公信CA SM2证书可选(约0.4~1万/年)</t>
        </is>
      </c>
      <c r="E10" s="6" t="n">
        <v>0</v>
      </c>
      <c r="F10" s="6" t="n">
        <v>1</v>
      </c>
      <c r="G10" s="4" t="inlineStr">
        <is>
          <t>必选</t>
        </is>
      </c>
      <c r="H10" s="5" t="inlineStr">
        <is>
          <t>主方案零采购成本,实施计入部署</t>
        </is>
      </c>
    </row>
    <row r="11">
      <c r="A11" s="7" t="n"/>
      <c r="B11" s="7" t="inlineStr">
        <is>
          <t>基础包小计(第1~7项,必选)</t>
        </is>
      </c>
      <c r="C11" s="7" t="n"/>
      <c r="D11" s="7" t="n"/>
      <c r="E11" s="8">
        <f>SUM(E4:E10)</f>
        <v/>
      </c>
      <c r="F11" s="8">
        <f>SUM(F4:F10)</f>
        <v/>
      </c>
      <c r="G11" s="7" t="n"/>
      <c r="H11" s="7" t="n"/>
    </row>
    <row r="12" ht="42" customHeight="1">
      <c r="A12" s="4" t="n">
        <v>8</v>
      </c>
      <c r="B12" s="5" t="inlineStr">
        <is>
          <t>数据库高可用备机</t>
        </is>
      </c>
      <c r="C12" s="4" t="inlineStr">
        <is>
          <t>1 台</t>
        </is>
      </c>
      <c r="D12" s="5" t="inlineStr">
        <is>
          <t>与第2项同配置,与主库组流复制主备</t>
        </is>
      </c>
      <c r="E12" s="6" t="n">
        <v>4</v>
      </c>
      <c r="F12" s="6" t="n">
        <v>6.5</v>
      </c>
      <c r="G12" s="9" t="inlineStr">
        <is>
          <t>可选</t>
        </is>
      </c>
      <c r="H12" s="5" t="inlineStr">
        <is>
          <t>正式投产稳定运行约6个月后按需启动</t>
        </is>
      </c>
    </row>
    <row r="13" ht="42" customHeight="1">
      <c r="A13" s="4" t="n">
        <v>9</v>
      </c>
      <c r="B13" s="5" t="inlineStr">
        <is>
          <t>密码机+签名验签服务器</t>
        </is>
      </c>
      <c r="C13" s="4" t="inlineStr">
        <is>
          <t>3 台</t>
        </is>
      </c>
      <c r="D13" s="5" t="inlineStr">
        <is>
          <t>服务器密码机×2(主备)+签名验签服务器×1,商用密码产品认证</t>
        </is>
      </c>
      <c r="E13" s="6" t="n">
        <v>25</v>
      </c>
      <c r="F13" s="6" t="n">
        <v>34</v>
      </c>
      <c r="G13" s="9" t="inlineStr">
        <is>
          <t>可选</t>
        </is>
      </c>
      <c r="H13" s="5" t="inlineStr">
        <is>
          <t>系统等保定级为三级并启动密评时采购(三级不强制硬件密码机)</t>
        </is>
      </c>
    </row>
    <row r="14" ht="42" customHeight="1">
      <c r="A14" s="4" t="n">
        <v>10</v>
      </c>
      <c r="B14" s="5" t="inlineStr">
        <is>
          <t>AI算力·入门档</t>
        </is>
      </c>
      <c r="C14" s="4" t="inlineStr">
        <is>
          <t>1 项</t>
        </is>
      </c>
      <c r="D14" s="5" t="inlineStr">
        <is>
          <t>国产推理卡2~4张(如昇腾Atlas 300I Duo 96GB)或蒸馏版大模型一体机;可跑DeepSeek-R1-32B量化+Qwen2.5-VL-7B,覆盖现有全部AI功能</t>
        </is>
      </c>
      <c r="E14" s="6" t="n">
        <v>15</v>
      </c>
      <c r="F14" s="6" t="n">
        <v>30</v>
      </c>
      <c r="G14" s="9" t="inlineStr">
        <is>
          <t>可选</t>
        </is>
      </c>
      <c r="H14" s="5" t="inlineStr">
        <is>
          <t>生产内网禁止访问公网大模型API时启动</t>
        </is>
      </c>
    </row>
    <row r="15" ht="42" customHeight="1">
      <c r="A15" s="4" t="n">
        <v>11</v>
      </c>
      <c r="B15" s="5" t="inlineStr">
        <is>
          <t>AI算力·标准档</t>
        </is>
      </c>
      <c r="C15" s="4" t="inlineStr">
        <is>
          <t>1 项</t>
        </is>
      </c>
      <c r="D15" s="5" t="inlineStr">
        <is>
          <t>8卡国产推理整机(如Atlas 800I A2,8×昇腾910B)或满血版一体机,满血671B模型/百人并发</t>
        </is>
      </c>
      <c r="E15" s="6" t="n">
        <v>80</v>
      </c>
      <c r="F15" s="6" t="n">
        <v>150</v>
      </c>
      <c r="G15" s="9" t="inlineStr">
        <is>
          <t>可选</t>
        </is>
      </c>
      <c r="H15" s="5" t="inlineStr">
        <is>
          <t>入门档实际负载验证不足后按需升级</t>
        </is>
      </c>
    </row>
    <row r="16">
      <c r="A16" s="10" t="n"/>
      <c r="B16" s="10" t="inlineStr">
        <is>
          <t>可选项小计(第8~11项)</t>
        </is>
      </c>
      <c r="C16" s="10" t="n"/>
      <c r="D16" s="10" t="n"/>
      <c r="E16" s="11">
        <f>SUM(E12:E15)</f>
        <v/>
      </c>
      <c r="F16" s="11">
        <f>SUM(F12:F15)</f>
        <v/>
      </c>
      <c r="G16" s="10" t="n"/>
      <c r="H16" s="10" t="n"/>
    </row>
    <row r="17">
      <c r="A17" s="10" t="n"/>
      <c r="B17" s="10" t="inlineStr">
        <is>
          <t>全部合计(基础包+全部可选)</t>
        </is>
      </c>
      <c r="C17" s="10" t="n"/>
      <c r="D17" s="10" t="n"/>
      <c r="E17" s="11">
        <f>E11+E16</f>
        <v/>
      </c>
      <c r="F17" s="11">
        <f>F11+F16</f>
        <v/>
      </c>
      <c r="G17" s="10" t="n"/>
      <c r="H17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12" t="inlineStr">
        <is>
          <t>对比一 CPU 技术路线(采购参数写"ARMv8 或 x86_64",前三者均可投标)</t>
        </is>
      </c>
    </row>
    <row r="2">
      <c r="A2" s="13" t="inlineStr">
        <is>
          <t>维度</t>
        </is>
      </c>
      <c r="B2" s="14" t="inlineStr">
        <is>
          <t>★推荐  海光 7000系(x86_64)</t>
        </is>
      </c>
      <c r="C2" s="13" t="inlineStr">
        <is>
          <t>鲲鹏 920(ARM64)</t>
        </is>
      </c>
      <c r="D2" s="13" t="inlineStr">
        <is>
          <t>飞腾 S5000C(ARM64)</t>
        </is>
      </c>
      <c r="E2" s="13" t="inlineStr">
        <is>
          <t>龙芯(LoongArch)【排除】</t>
        </is>
      </c>
    </row>
    <row r="3" ht="30" customHeight="1">
      <c r="A3" s="13" t="inlineStr">
        <is>
          <t>推荐度</t>
        </is>
      </c>
      <c r="B3" s="15" t="inlineStr">
        <is>
          <t>★★★★★</t>
        </is>
      </c>
      <c r="C3" s="16" t="inlineStr">
        <is>
          <t>★★★★</t>
        </is>
      </c>
      <c r="D3" s="16" t="inlineStr">
        <is>
          <t>★★★</t>
        </is>
      </c>
      <c r="E3" s="16" t="inlineStr">
        <is>
          <t>—</t>
        </is>
      </c>
    </row>
    <row r="4" ht="30" customHeight="1">
      <c r="A4" s="13" t="inlineStr">
        <is>
          <t>定位</t>
        </is>
      </c>
      <c r="B4" s="15" t="inlineStr">
        <is>
          <t>国产x86,与现有开发环境同架构</t>
        </is>
      </c>
      <c r="C4" s="16" t="inlineStr">
        <is>
          <t>信创供货面最强的ARM路线</t>
        </is>
      </c>
      <c r="D4" s="16" t="inlineStr">
        <is>
          <t>自主度评级最高档的ARM路线</t>
        </is>
      </c>
      <c r="E4" s="16" t="inlineStr">
        <is>
          <t>全自研指令集路线</t>
        </is>
      </c>
    </row>
    <row r="5" ht="61" customHeight="1">
      <c r="A5" s="13" t="inlineStr">
        <is>
          <t>优势</t>
        </is>
      </c>
      <c r="B5" s="15" t="inlineStr">
        <is>
          <t>✓ 与开发环境同架构,迁移零交叉风险
✓ Node/Prisma/sharp 全部官方一级支持
✓ 整机选择多(中科可控H620/新华三R4930/联想开天KR722h)
✓ 双路整机约2~6万,性价比高</t>
        </is>
      </c>
      <c r="C5" s="16" t="inlineStr">
        <is>
          <t>✓ 电信集采ARM标包占70.7%,供货面最强
✓ 整机厂多(华鲲振宇/宝德/长江计算/昆仑技术等)
✓ Node/Prisma/sharp均有官方linux-arm64组件
✓ 能效比好</t>
        </is>
      </c>
      <c r="D5" s="16" t="inlineStr">
        <is>
          <t>✓ FTC862全自研核,自主度评级高
✓ 党政市场认可度高
✓ ARMv8生态,软件兼容路径与鲲鹏一致</t>
        </is>
      </c>
      <c r="E5" s="16" t="inlineStr">
        <is>
          <t>✓ 指令集自研,自主可控叙事最强</t>
        </is>
      </c>
    </row>
    <row r="6" ht="46" customHeight="1">
      <c r="A6" s="13" t="inlineStr">
        <is>
          <t>劣势</t>
        </is>
      </c>
      <c r="B6" s="15" t="inlineStr">
        <is>
          <t>✗ 源自AMD Zen授权,部分党政项目按自主度分档时受限(企业内部采购无碍)</t>
        </is>
      </c>
      <c r="C6" s="16" t="inlineStr">
        <is>
          <t>✗ 与开发环境(x86)架构不同,需一轮完整arm64适配验证
✗ 7nm先进制程受限,920代际更新慢</t>
        </is>
      </c>
      <c r="D6" s="16" t="inlineStr">
        <is>
          <t>✗ 单核性能弱于海光/鲲鹏
✗ 整机与渠道少
✗ 上代S2500仍在售需甄别</t>
        </is>
      </c>
      <c r="E6" s="16" t="inlineStr">
        <is>
          <t>✗ Node.js仅实验级支持,无官方二进制,社区版滞后数月
✗ Prisma/sharp无loongarch产物,需自行编译长期维护
✗ 安全补丁跟进风险高 → 硬排除</t>
        </is>
      </c>
    </row>
    <row r="7" ht="30" customHeight="1">
      <c r="A7" s="13" t="inlineStr">
        <is>
          <t>参考价位</t>
        </is>
      </c>
      <c r="B7" s="15" t="inlineStr">
        <is>
          <t>双路整机约2~6万(2×7255/7285,64~256GB)</t>
        </is>
      </c>
      <c r="C7" s="16" t="inlineStr">
        <is>
          <t>双路2.2~8.5万(按32/48/64核档位)</t>
        </is>
      </c>
      <c r="D7" s="16" t="inlineStr">
        <is>
          <t>双路整机询价(渠道少)</t>
        </is>
      </c>
      <c r="E7" s="16" t="inlineStr">
        <is>
          <t>不适用</t>
        </is>
      </c>
    </row>
    <row r="8" ht="30" customHeight="1">
      <c r="A8" s="17" t="inlineStr">
        <is>
          <t>结论:海光与鲲鹏均满足采购参数,评标优先;首选海光(与开发环境同架构,交付风险最低),鲲鹏为强备选;龙芯被参数自然排除。</t>
        </is>
      </c>
    </row>
    <row r="10">
      <c r="A10" s="12" t="inlineStr">
        <is>
          <t>对比二 国产数据库(采购参数写"PG内核≥9.6+标准PG驱动直连",前两者够格竞争)</t>
        </is>
      </c>
    </row>
    <row r="11">
      <c r="A11" s="13" t="inlineStr">
        <is>
          <t>维度</t>
        </is>
      </c>
      <c r="B11" s="14" t="inlineStr">
        <is>
          <t>★推荐  瀚高数据库(安全版)</t>
        </is>
      </c>
      <c r="C11" s="13" t="inlineStr">
        <is>
          <t>人大金仓 KingbaseES</t>
        </is>
      </c>
      <c r="D11" s="13" t="inlineStr">
        <is>
          <t>openGauss/GaussDB系【不满足参数】</t>
        </is>
      </c>
      <c r="E11" s="13" t="inlineStr">
        <is>
          <t>达梦 DM8【排除】</t>
        </is>
      </c>
    </row>
    <row r="12" ht="30" customHeight="1">
      <c r="A12" s="13" t="inlineStr">
        <is>
          <t>推荐度</t>
        </is>
      </c>
      <c r="B12" s="15" t="inlineStr">
        <is>
          <t>★★★★★</t>
        </is>
      </c>
      <c r="C12" s="16" t="inlineStr">
        <is>
          <t>★★★★</t>
        </is>
      </c>
      <c r="D12" s="16" t="inlineStr">
        <is>
          <t>—</t>
        </is>
      </c>
      <c r="E12" s="16" t="inlineStr">
        <is>
          <t>—</t>
        </is>
      </c>
    </row>
    <row r="13" ht="30" customHeight="1">
      <c r="A13" s="13" t="inlineStr">
        <is>
          <t>定位</t>
        </is>
      </c>
      <c r="B13" s="15" t="inlineStr">
        <is>
          <t>PostgreSQL内核直系(V5与PG10同步)</t>
        </is>
      </c>
      <c r="C13" s="16" t="inlineStr">
        <is>
          <t>市占前列的PG系,PG兼容模式</t>
        </is>
      </c>
      <c r="D13" s="16" t="inlineStr">
        <is>
          <t>华为生态,源自PG 9.2深度改造</t>
        </is>
      </c>
      <c r="E13" s="16" t="inlineStr">
        <is>
          <t>党政市占第一的自研库</t>
        </is>
      </c>
    </row>
    <row r="14" ht="46" customHeight="1">
      <c r="A14" s="13" t="inlineStr">
        <is>
          <t>优势</t>
        </is>
      </c>
      <c r="B14" s="15" t="inlineStr">
        <is>
          <t>✓ 协议/SQL全兼容,标准PG驱动直连风险最低
✓ 信创目录内
✓ PG生态文档与运维经验全部适用</t>
        </is>
      </c>
      <c r="C14" s="16" t="inlineStr">
        <is>
          <t>✓ 案例最多、服务网点广
✓ PG兼容模式有node-postgres直连实测案例
✓ 资质齐全</t>
        </is>
      </c>
      <c r="D14" s="16" t="inlineStr">
        <is>
          <t>✓ 性能优化强、社区活跃
✓ 华为体系整合好</t>
        </is>
      </c>
      <c r="E14" s="16" t="inlineStr">
        <is>
          <t>✓ 党政市占第一、名录资质最全
✓ 官方Node驱动dmdb存在且持续更新</t>
        </is>
      </c>
    </row>
    <row r="15" ht="46" customHeight="1">
      <c r="A15" s="13" t="inlineStr">
        <is>
          <t>劣势</t>
        </is>
      </c>
      <c r="B15" s="15" t="inlineStr">
        <is>
          <t>✗ 市场声量低于金仓/达梦
✗ Prisma无官方认证(靠合同适配条款+验收兜底)</t>
        </is>
      </c>
      <c r="C15" s="16" t="inlineStr">
        <is>
          <t>✗ 需指定PG兼容模式(DB_MODE=pg)
✗ version()返回串不含PostgreSQL,驱动探测有坑
✗ Prisma无公开成功案例</t>
        </is>
      </c>
      <c r="D15" s="16" t="inlineStr">
        <is>
          <t>✗ 内核PG 9.2.4,低于应用ORM最低支持线9.6 → 不满足采购参数
✗ 默认sha256认证使标准PG驱动连不上(需改md5并重置密码)</t>
        </is>
      </c>
      <c r="E15" s="16" t="inlineStr">
        <is>
          <t>✗ 无Prisma支持,官方ORM仅TypeORM/Knex
✗ 选它=数据访问层重写,预计数月工期 → 硬排除</t>
        </is>
      </c>
    </row>
    <row r="16" ht="30" customHeight="1">
      <c r="A16" s="13" t="inlineStr">
        <is>
          <t>参考价位</t>
        </is>
      </c>
      <c r="B16" s="15" t="inlineStr">
        <is>
          <t>按CPU授权,询价(预算5~15万含测试授权)</t>
        </is>
      </c>
      <c r="C16" s="16" t="inlineStr">
        <is>
          <t>同左,询价</t>
        </is>
      </c>
      <c r="D16" s="16" t="inlineStr">
        <is>
          <t>开源版免费/商业版询价</t>
        </is>
      </c>
      <c r="E16" s="16" t="inlineStr">
        <is>
          <t>询价</t>
        </is>
      </c>
    </row>
    <row r="17" ht="30" customHeight="1">
      <c r="A17" s="17" t="inlineStr">
        <is>
          <t>结论:参数一条线同时排除达梦与openGauss;瀚高最优先(内核直系),金仓为合格竞争者;两家适配责任均写为中标方义务+付款前置。</t>
        </is>
      </c>
    </row>
    <row r="19">
      <c r="A19" s="12" t="inlineStr">
        <is>
          <t>对比三 服务器操作系统(双产品并列写入参数保持竞争)</t>
        </is>
      </c>
    </row>
    <row r="20">
      <c r="A20" s="13" t="inlineStr">
        <is>
          <t>维度</t>
        </is>
      </c>
      <c r="B20" s="14" t="inlineStr">
        <is>
          <t>★推荐  银河麒麟 V10 SP3+</t>
        </is>
      </c>
      <c r="C20" s="13" t="inlineStr">
        <is>
          <t>统信 UOS 服务器版 V20</t>
        </is>
      </c>
    </row>
    <row r="21" ht="30" customHeight="1">
      <c r="A21" s="13" t="inlineStr">
        <is>
          <t>推荐度</t>
        </is>
      </c>
      <c r="B21" s="15" t="inlineStr">
        <is>
          <t>★★★★★</t>
        </is>
      </c>
      <c r="C21" s="16" t="inlineStr">
        <is>
          <t>★★★★</t>
        </is>
      </c>
    </row>
    <row r="22" ht="61" customHeight="1">
      <c r="A22" s="13" t="inlineStr">
        <is>
          <t>优势</t>
        </is>
      </c>
      <c r="B22" s="15" t="inlineStr">
        <is>
          <t>✓ 服务器信创市占第一
✓ 与各整机互认证证书覆盖最全
✓ glibc 2.28满足Node官方二进制最低线
✓ 鲲鹏/飞腾/龙芯/申威/兆芯/海光六平台同产品线</t>
        </is>
      </c>
      <c r="C22" s="16" t="inlineStr">
        <is>
          <t>✓ Debian系,软件生态亲和
✓ glibc 2.28同样达标
✓ 鲲鹏920/海光7000全支持
✓ 价格相近,可有效压价</t>
        </is>
      </c>
    </row>
    <row r="23" ht="31" customHeight="1">
      <c r="A23" s="13" t="inlineStr">
        <is>
          <t>劣势</t>
        </is>
      </c>
      <c r="B23" s="15" t="inlineStr">
        <is>
          <t>✗ 授权约0.5~1万/台(含3年服务)
✗ 自带软件源Node版本旧(实际部署用官方二进制,无碍)</t>
        </is>
      </c>
      <c r="C23" s="16" t="inlineStr">
        <is>
          <t>✗ 服务器端市占与互认证证书数量少于麒麟</t>
        </is>
      </c>
    </row>
    <row r="24" ht="30" customHeight="1">
      <c r="A24" s="13" t="inlineStr">
        <is>
          <t>参考价位</t>
        </is>
      </c>
      <c r="B24" s="15" t="inlineStr">
        <is>
          <t>约0.5~1万/台(永久授权+3年服务)</t>
        </is>
      </c>
      <c r="C24" s="16" t="inlineStr">
        <is>
          <t>同量级,询价</t>
        </is>
      </c>
    </row>
    <row r="25" ht="30" customHeight="1">
      <c r="A25" s="17" t="inlineStr">
        <is>
          <t>结论:按整机互认证完整度评标取舍;两者对本系统运行完全等效(glibc≥2.28)。</t>
        </is>
      </c>
    </row>
    <row r="27">
      <c r="A27" s="12" t="inlineStr">
        <is>
          <t>对比四 国密传输方案(先零成本软件方案,定级三级后按密评结论补硬件)</t>
        </is>
      </c>
    </row>
    <row r="28">
      <c r="A28" s="13" t="inlineStr">
        <is>
          <t>维度</t>
        </is>
      </c>
      <c r="B28" s="14" t="inlineStr">
        <is>
          <t>★推荐  开源国密网关+自建CA</t>
        </is>
      </c>
      <c r="C28" s="13" t="inlineStr">
        <is>
          <t>公信CA SM2证书</t>
        </is>
      </c>
      <c r="D28" s="13" t="inlineStr">
        <is>
          <t>硬件密码机+签名验签</t>
        </is>
      </c>
    </row>
    <row r="29" ht="30" customHeight="1">
      <c r="A29" s="13" t="inlineStr">
        <is>
          <t>推荐度</t>
        </is>
      </c>
      <c r="B29" s="15" t="inlineStr">
        <is>
          <t>★★★★★</t>
        </is>
      </c>
      <c r="C29" s="16" t="inlineStr">
        <is>
          <t>★★★</t>
        </is>
      </c>
      <c r="D29" s="16" t="inlineStr">
        <is>
          <t>★★</t>
        </is>
      </c>
    </row>
    <row r="30" ht="61" customHeight="1">
      <c r="A30" s="13" t="inlineStr">
        <is>
          <t>优势</t>
        </is>
      </c>
      <c r="B30" s="15" t="inlineStr">
        <is>
          <t>✓ 零采购成本
✓ Tengine+铜锁为开放原子基金会项目,阿里云生产验证
✓ SM2+RSA双证书,非国密浏览器自动回退
✓ 内网终端推根一次配置长期有效</t>
        </is>
      </c>
      <c r="C30" s="16" t="inlineStr">
        <is>
          <t>✓ 对外/对第三方可信
✓ CFCA/沃通等签发渠道成熟</t>
        </is>
      </c>
      <c r="D30" s="16" t="inlineStr">
        <is>
          <t>✓ 密评最稳妥路径
✓ 密钥硬件级保护(密码模块更高等级)</t>
        </is>
      </c>
    </row>
    <row r="31" ht="31" customHeight="1">
      <c r="A31" s="13" t="inlineStr">
        <is>
          <t>劣势</t>
        </is>
      </c>
      <c r="B31" s="15" t="inlineStr">
        <is>
          <t>✗ 需自行部署维护
✗ 无对外公信力(纯内网够用)</t>
        </is>
      </c>
      <c r="C31" s="16" t="inlineStr">
        <is>
          <t>✗ 年费0.4~1万持续支出
✗ 内网场景非必需</t>
        </is>
      </c>
      <c r="D31" s="16" t="inlineStr">
        <is>
          <t>✗ 投入25~34万
✗ 等保三级并不强制硬件密码机(软件密码模块二级可达标),未定级前属超前投入</t>
        </is>
      </c>
    </row>
    <row r="32" ht="30" customHeight="1">
      <c r="A32" s="13" t="inlineStr">
        <is>
          <t>参考价位</t>
        </is>
      </c>
      <c r="B32" s="15" t="inlineStr">
        <is>
          <t>0元(实施计入系统部署)</t>
        </is>
      </c>
      <c r="C32" s="16" t="inlineStr">
        <is>
          <t>OV型约0.4~1万/年</t>
        </is>
      </c>
      <c r="D32" s="16" t="inlineStr">
        <is>
          <t>密码机8~12万/台×2+签名验签8~10万</t>
        </is>
      </c>
    </row>
    <row r="33" ht="30" customHeight="1">
      <c r="A33" s="17" t="inlineStr">
        <is>
          <t>结论:主方案零成本即满足加密传输;密评触发后按测评结论补第3项,不超前投入。</t>
        </is>
      </c>
    </row>
    <row r="35">
      <c r="A35" s="12" t="inlineStr">
        <is>
          <t>对比五 AI 能力供给(内网允许出网→维持现状零投入;禁止出网→入门档已覆盖全部现有功能)</t>
        </is>
      </c>
    </row>
    <row r="36">
      <c r="A36" s="13" t="inlineStr">
        <is>
          <t>维度</t>
        </is>
      </c>
      <c r="B36" s="14" t="inlineStr">
        <is>
          <t>★推荐  维持云端API(现状)</t>
        </is>
      </c>
      <c r="C36" s="13" t="inlineStr">
        <is>
          <t>昇腾入门档(15~30万)</t>
        </is>
      </c>
      <c r="D36" s="13" t="inlineStr">
        <is>
          <t>昇腾标准档(80~150万)</t>
        </is>
      </c>
      <c r="E36" s="13" t="inlineStr">
        <is>
          <t>NVIDIA L20/4090【不推荐】</t>
        </is>
      </c>
    </row>
    <row r="37" ht="30" customHeight="1">
      <c r="A37" s="13" t="inlineStr">
        <is>
          <t>推荐度</t>
        </is>
      </c>
      <c r="B37" s="15" t="inlineStr">
        <is>
          <t>★★★★★</t>
        </is>
      </c>
      <c r="C37" s="16" t="inlineStr">
        <is>
          <t>★★★★</t>
        </is>
      </c>
      <c r="D37" s="16" t="inlineStr">
        <is>
          <t>★★★</t>
        </is>
      </c>
      <c r="E37" s="16" t="inlineStr">
        <is>
          <t>—</t>
        </is>
      </c>
    </row>
    <row r="38" ht="46" customHeight="1">
      <c r="A38" s="13" t="inlineStr">
        <is>
          <t>优势</t>
        </is>
      </c>
      <c r="B38" s="15" t="inlineStr">
        <is>
          <t>✓ 零新增投入,全部AI功能已跑通(DeepSeek/豆包/千问)
✓ 模型升级零成本
✓ 系统支持按功能降级,随时可切换</t>
        </is>
      </c>
      <c r="C38" s="16" t="inlineStr">
        <is>
          <t>✓ 信创合规(昇腾Atlas 300I Duo×2~4或蒸馏一体机)
✓ DeepSeek-R1-32B量化+Qwen2.5-VL-7B覆盖现有全部AI功能
✓ MindIE生态成熟(80+企业适配)</t>
        </is>
      </c>
      <c r="D38" s="16" t="inlineStr">
        <is>
          <t>✓ 满血671B模型、百人并发
✓ 一步到位(Atlas 800I A2,8×910B)</t>
        </is>
      </c>
      <c r="E38" s="16" t="inlineStr">
        <is>
          <t>✓ 生态最成熟、单位算力最便宜(4090约1.2~1.5万/卡)</t>
        </is>
      </c>
    </row>
    <row r="39" ht="46" customHeight="1">
      <c r="A39" s="13" t="inlineStr">
        <is>
          <t>劣势</t>
        </is>
      </c>
      <c r="B39" s="15" t="inlineStr">
        <is>
          <t>✗ 依赖内网出网通道
✗ 业务数据出内网需合规评估</t>
        </is>
      </c>
      <c r="C39" s="16" t="inlineStr">
        <is>
          <t>✗ 并发有限(几十级)
✗ 新增昇腾运维技能
✗ 图像生成类(AI头像/3D生成)暂无好的私有化平替</t>
        </is>
      </c>
      <c r="D39" s="16" t="inlineStr">
        <is>
          <t>✗ 远超当前实际负载
✗ 应先用入门档验证真实用量再升级</t>
        </is>
      </c>
      <c r="E39" s="16" t="inlineStr">
        <is>
          <t>✗ 不在信创目录
✗ 受美出口管制,渠道合规存疑
✗ 4090为消费卡,无企业保修</t>
        </is>
      </c>
    </row>
    <row r="40" ht="30" customHeight="1">
      <c r="A40" s="13" t="inlineStr">
        <is>
          <t>参考价位</t>
        </is>
      </c>
      <c r="B40" s="15" t="inlineStr">
        <is>
          <t>按量付费(现有支出不变)</t>
        </is>
      </c>
      <c r="C40" s="16" t="inlineStr">
        <is>
          <t>15~30万一次性</t>
        </is>
      </c>
      <c r="D40" s="16" t="inlineStr">
        <is>
          <t>80~150万一次性</t>
        </is>
      </c>
      <c r="E40" s="16" t="inlineStr">
        <is>
          <t>10~30万(合规风险自担)</t>
        </is>
      </c>
    </row>
    <row r="41" ht="30" customHeight="1">
      <c r="A41" s="17" t="inlineStr">
        <is>
          <t>结论:AI算力不进基础包;以出网政策为触发条件分批决策,避免为不确定需求提前锁定大额投入。</t>
        </is>
      </c>
    </row>
  </sheetData>
  <mergeCells count="10">
    <mergeCell ref="A35:E35"/>
    <mergeCell ref="A10:E10"/>
    <mergeCell ref="A25:E25"/>
    <mergeCell ref="A41:E41"/>
    <mergeCell ref="A19:E19"/>
    <mergeCell ref="A33:E33"/>
    <mergeCell ref="A1:E1"/>
    <mergeCell ref="A8:E8"/>
    <mergeCell ref="A17:E17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42" customWidth="1" min="4" max="4"/>
  </cols>
  <sheetData>
    <row r="1">
      <c r="A1" s="18" t="inlineStr">
        <is>
          <t>预算汇总(单位:万元,联动"采购清单"表自动计算)</t>
        </is>
      </c>
    </row>
    <row r="2">
      <c r="A2" s="3" t="inlineStr">
        <is>
          <t>项目包</t>
        </is>
      </c>
      <c r="B2" s="3" t="inlineStr">
        <is>
          <t>金额下限</t>
        </is>
      </c>
      <c r="C2" s="3" t="inlineStr">
        <is>
          <t>金额上限</t>
        </is>
      </c>
      <c r="D2" s="3" t="inlineStr">
        <is>
          <t>触发条件/说明</t>
        </is>
      </c>
    </row>
    <row r="3" ht="26" customHeight="1">
      <c r="A3" s="19" t="inlineStr">
        <is>
          <t>基础包(第1~7项,必选)</t>
        </is>
      </c>
      <c r="B3" s="20">
        <f>'采购清单'!E11</f>
        <v/>
      </c>
      <c r="C3" s="20">
        <f>'采购清单'!F11</f>
        <v/>
      </c>
      <c r="D3" s="16" t="inlineStr">
        <is>
          <t>本次申请核批;国密如选公信CA另计约0.4~1万/年</t>
        </is>
      </c>
    </row>
    <row r="4" ht="26" customHeight="1">
      <c r="A4" s="5" t="inlineStr">
        <is>
          <t>可选:数据库高可用备机(第8项)</t>
        </is>
      </c>
      <c r="B4" s="21">
        <f>'采购清单'!E12</f>
        <v/>
      </c>
      <c r="C4" s="21">
        <f>'采购清单'!F12</f>
        <v/>
      </c>
      <c r="D4" s="16" t="inlineStr">
        <is>
          <t>投产稳定约6个月后按需启动</t>
        </is>
      </c>
    </row>
    <row r="5" ht="26" customHeight="1">
      <c r="A5" s="5" t="inlineStr">
        <is>
          <t>可选:密码设备(第9项)</t>
        </is>
      </c>
      <c r="B5" s="21">
        <f>'采购清单'!E13</f>
        <v/>
      </c>
      <c r="C5" s="21">
        <f>'采购清单'!F13</f>
        <v/>
      </c>
      <c r="D5" s="16" t="inlineStr">
        <is>
          <t>等保三级定级/密评启动时采购</t>
        </is>
      </c>
    </row>
    <row r="6" ht="26" customHeight="1">
      <c r="A6" s="5" t="inlineStr">
        <is>
          <t>可选:AI算力入门档(第10项)</t>
        </is>
      </c>
      <c r="B6" s="21">
        <f>'采购清单'!E14</f>
        <v/>
      </c>
      <c r="C6" s="21">
        <f>'采购清单'!F14</f>
        <v/>
      </c>
      <c r="D6" s="16" t="inlineStr">
        <is>
          <t>内网禁止访问公网大模型时启动</t>
        </is>
      </c>
    </row>
    <row r="7" ht="26" customHeight="1">
      <c r="A7" s="5" t="inlineStr">
        <is>
          <t>可选:AI算力标准档(第11项)</t>
        </is>
      </c>
      <c r="B7" s="21">
        <f>'采购清单'!E15</f>
        <v/>
      </c>
      <c r="C7" s="21">
        <f>'采购清单'!F15</f>
        <v/>
      </c>
      <c r="D7" s="16" t="inlineStr">
        <is>
          <t>入门档负载验证不足后升级</t>
        </is>
      </c>
    </row>
    <row r="8">
      <c r="A8" s="10" t="inlineStr">
        <is>
          <t>全选合计</t>
        </is>
      </c>
      <c r="B8" s="11">
        <f>SUM(B3:B7)</f>
        <v/>
      </c>
      <c r="C8" s="11">
        <f>SUM(C3:C7)</f>
        <v/>
      </c>
      <c r="D8" s="22" t="inlineStr">
        <is>
          <t>价格为2024—2025行情锚点,签订前询价≥3家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2026-07-03T01:06:04Z</dcterms:created>
  <dcterms:modified xmlns:dcterms="http://purl.org/dc/terms/" xmlns:xsi="http://www.w3.org/2001/XMLSchema-instance" xsi:type="dcterms:W3CDTF">2026-07-03T01:06:04Z</dcterms:modified>
</cp:coreProperties>
</file>